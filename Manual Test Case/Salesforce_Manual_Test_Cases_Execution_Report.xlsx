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c671dbe71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s" sheetId="1" r:id="R39c66d4bb6734a74"/>
    <x:sheet xmlns:r="http://schemas.openxmlformats.org/officeDocument/2006/relationships" name="Execution_Report" sheetId="2" r:id="R15c4b622e6404d1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Unique test case identifier.</x:t>
        </x:r>
      </x:text>
    </x:comment>
    <x:comment ref="B2" authorId="0">
      <x:text>
        <x:r>
          <x:t>Functional module used for execution summary counts.</x:t>
        </x:r>
      </x:text>
    </x:comment>
    <x:comment ref="C2" authorId="0">
      <x:text>
        <x:r>
          <x:t>Short scenario name.</x:t>
        </x:r>
      </x:text>
    </x:comment>
    <x:comment ref="D2" authorId="0">
      <x:text>
        <x:r>
          <x:t>Conditions required before executing the test.</x:t>
        </x:r>
      </x:text>
    </x:comment>
    <x:comment ref="E2" authorId="0">
      <x:text>
        <x:r>
          <x:t>Manual execution steps.</x:t>
        </x:r>
      </x:text>
    </x:comment>
    <x:comment ref="F2" authorId="0">
      <x:text>
        <x:r>
          <x:t>Expected system behavior or result.</x:t>
        </x:r>
      </x:text>
    </x:comment>
    <x:comment ref="G2" authorId="0">
      <x:text>
        <x:r>
          <x:t>Execution priority.</x:t>
        </x:r>
      </x:text>
    </x:comment>
    <x:comment ref="H2" authorId="0">
      <x:text>
        <x:r>
          <x:t>Suggested suite/category.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%"/>
  </x:numFmts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FFFFFF"/>
    </x:font>
    <x:font>
      <x:color rgb="00808080"/>
    </x:font>
    <x:font>
      <x:b/>
      <x:color rgb="007030A0"/>
    </x:font>
    <x:font>
      <x:color rgb="000000FF"/>
    </x:font>
    <x:font>
      <x:i/>
      <x:color rgb="009C6500"/>
    </x:font>
    <x:font>
      <x:b/>
    </x:font>
    <x:font>
      <x:sz val="12"/>
      <x:color theme="10"/>
      <x:name val="Calibri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F3FF"/>
      </x:patternFill>
    </x:fill>
    <x:fill>
      <x:patternFill patternType="solid">
        <x:fgColor rgb="00FFF2CC"/>
      </x:patternFill>
    </x:fill>
    <x:fill>
      <x:patternFill patternType="solid">
        <x:fgColor rgb="00F3F4F6"/>
      </x:patternFill>
    </x:fill>
    <x:fill>
      <x:patternFill patternType="solid">
        <x:fgColor rgb="00DFF0D8"/>
      </x:patternFill>
    </x:fill>
  </x:fills>
  <x:borders count="2">
    <x:border>
      <x:left/>
      <x:right/>
      <x:top/>
      <x:bottom/>
      <x:diagonal/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</x:borders>
  <x:cellStyleXfs count="2">
    <x:xf numFmtId="0" fontId="0" fillId="0" borderId="0"/>
    <x:xf numFmtId="0" fontId="8" fillId="0" borderId="0"/>
  </x:cellStyleXfs>
  <x:cellXfs count="22">
    <x:xf numFmtId="0" fontId="0" fillId="0" borderId="0" xfId="0"/>
    <x:xf numFmtId="0" fontId="1" fillId="2" borderId="0" xfId="0" applyAlignment="1">
      <x:alignment horizontal="center"/>
    </x:xf>
    <x:xf numFmtId="0" fontId="2" fillId="2" borderId="1" xfId="0" applyAlignment="1">
      <x:alignment horizontal="center" vertical="center"/>
    </x:xf>
    <x:xf numFmtId="0" fontId="3" fillId="0" borderId="1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4" fillId="0" borderId="0" xfId="0"/>
    <x:xf numFmtId="0" fontId="5" fillId="3" borderId="1" xfId="0"/>
    <x:xf numFmtId="164" fontId="5" fillId="3" borderId="1" xfId="0"/>
    <x:xf numFmtId="0" fontId="6" fillId="4" borderId="0" xfId="0" applyAlignment="1">
      <x:alignment vertical="center" wrapText="1"/>
    </x:xf>
    <x:xf numFmtId="0" fontId="2" fillId="2" borderId="1" xfId="0" applyAlignment="1">
      <x:alignment horizontal="center"/>
    </x:xf>
    <x:xf numFmtId="0" fontId="7" fillId="5" borderId="1" xfId="0"/>
    <x:xf numFmtId="0" fontId="0" fillId="6" borderId="1" xfId="0" applyAlignment="1">
      <x:alignment horizontal="center"/>
    </x:xf>
    <x:xf numFmtId="0" fontId="0" fillId="0" borderId="1" xfId="0" applyAlignment="1">
      <x:alignment horizontal="center"/>
    </x:xf>
    <x:xf numFmtId="165" fontId="0" fillId="0" borderId="1" xfId="0" applyAlignment="1">
      <x:alignment horizontal="center"/>
    </x:xf>
    <x:xf numFmtId="0" fontId="0" fillId="5" borderId="1" xfId="0" applyAlignment="1">
      <x:alignment horizontal="center"/>
    </x:xf>
    <x:xf numFmtId="165" fontId="0" fillId="6" borderId="1" xfId="0" applyAlignment="1">
      <x:alignment horizontal="center"/>
    </x:xf>
    <x:xf numFmtId="0" fontId="2" fillId="2" borderId="1" xfId="0" applyAlignment="1">
      <x:alignment horizontal="center" vertical="center" wrapText="1"/>
    </x:xf>
    <x:xf numFmtId="0" fontId="8" fillId="0" borderId="1" xfId="1" applyAlignment="1">
      <x:alignment vertical="top" wrapText="1"/>
    </x:xf>
    <x:xf numFmtId="0" fontId="0" fillId="5" borderId="1" xfId="0" applyAlignment="1">
      <x:alignment vertical="top" wrapText="1"/>
    </x:xf>
    <x:xf numFmtId="0" fontId="5" fillId="3" borderId="1" xfId="0" applyAlignment="1">
      <x:alignment vertical="top" wrapText="1"/>
    </x:xf>
    <x:xf numFmtId="164" fontId="5" fillId="3" borderId="1" xfId="0" applyAlignment="1">
      <x:alignment vertical="top" wrapText="1"/>
    </x:xf>
  </x:cellXfs>
  <x:cellStyles count="2">
    <x:cellStyle name="Normal" xfId="0"/>
    <x:cellStyle name="Hyperlink" xfId="1"/>
  </x:cellStyles>
  <x:dxfs count="4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7b004ed0d45f1" /><Relationship Type="http://schemas.openxmlformats.org/officeDocument/2006/relationships/theme" Target="/xl/theme/theme1.xml" Id="Rf1118709e6db4653" /><Relationship Type="http://schemas.openxmlformats.org/officeDocument/2006/relationships/sharedStrings" Target="/xl/sharedStrings.xml" Id="Rbf9047a34be040e2" /><Relationship Type="http://schemas.openxmlformats.org/officeDocument/2006/relationships/worksheet" Target="/xl/worksheets/sheet1.xml" Id="R39c66d4bb6734a74" /><Relationship Type="http://schemas.openxmlformats.org/officeDocument/2006/relationships/worksheet" Target="/xl/worksheets/sheet2.xml" Id="R15c4b622e6404d11" /><Relationship Type="http://schemas.microsoft.com/office/2017/10/relationships/person" Target="/xl/persons/person.xml" Id="R0ff3388978804e29" /></Relationships>
</file>

<file path=xl/persons/person.xml><?xml version="1.0" encoding="utf-8"?>
<xltc:personList xmlns:xltc="http://schemas.microsoft.com/office/spreadsheetml/2018/threadedcomments">
  <xltc:person displayName="OpenAI" id="{CD64D516-6D48-44B1-3B53-39E7E67E0FD1}"/>
</xltc:personList>
</file>

<file path=xl/tables/table1.xml><?xml version="1.0" encoding="utf-8"?>
<x:table xmlns:x="http://schemas.openxmlformats.org/spreadsheetml/2006/main" id="1" name="TestCasesTable" displayName="TestCasesTable" ref="A2:H17" headerRowCount="1">
  <x:autoFilter ref="A2:H17"/>
  <x:tableColumns count="8">
    <x:tableColumn id="1" name="TC_ID"/>
    <x:tableColumn id="2" name="Module"/>
    <x:tableColumn id="3" name="Test Case"/>
    <x:tableColumn id="4" name="Preconditions"/>
    <x:tableColumn id="5" name="Steps"/>
    <x:tableColumn id="6" name="Expected Result"/>
    <x:tableColumn id="7" name="Priority"/>
    <x:tableColumn id="8" name="Typ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34d93c476404bbc" /><Relationship Type="http://schemas.openxmlformats.org/officeDocument/2006/relationships/vmlDrawing" Target="/xl/drawings/vmldrawing.vml" Id="R2022a69235c74312" /><Relationship Type="http://schemas.openxmlformats.org/officeDocument/2006/relationships/table" Target="/xl/tables/table1.xml" Id="R9e46d84b5d5b41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28" customWidth="1"/>
    <x:col min="4" max="4" width="30" customWidth="1"/>
    <x:col min="5" max="5" width="45" customWidth="1"/>
    <x:col min="6" max="6" width="38" customWidth="1"/>
    <x:col min="7" max="7" width="12" customWidth="1"/>
    <x:col min="8" max="8" width="12" customWidth="1"/>
  </x:cols>
  <x:sheetData>
    <x:row r="1">
      <x:c r="A1" s="1" t="inlineStr">
        <x:is>
          <x:t xml:space="preserve">Salesforce Manual Test Cases</x:t>
        </x:is>
      </x:c>
    </x:row>
    <x:row r="2">
      <x:c r="A2" s="2" t="inlineStr">
        <x:is>
          <x:t xml:space="preserve">TC_ID</x:t>
        </x:is>
      </x:c>
      <x:c r="B2" s="2" t="inlineStr">
        <x:is>
          <x:t xml:space="preserve">Module</x:t>
        </x:is>
      </x:c>
      <x:c r="C2" s="2" t="inlineStr">
        <x:is>
          <x:t xml:space="preserve">Test Case</x:t>
        </x:is>
      </x:c>
      <x:c r="D2" s="2" t="inlineStr">
        <x:is>
          <x:t xml:space="preserve">Preconditions</x:t>
        </x:is>
      </x:c>
      <x:c r="E2" s="2" t="inlineStr">
        <x:is>
          <x:t xml:space="preserve">Steps</x:t>
        </x:is>
      </x:c>
      <x:c r="F2" s="2" t="inlineStr">
        <x:is>
          <x:t xml:space="preserve">Expected Result</x:t>
        </x:is>
      </x:c>
      <x:c r="G2" s="2" t="inlineStr">
        <x:is>
          <x:t xml:space="preserve">Priority</x:t>
        </x:is>
      </x:c>
      <x:c r="H2" s="2" t="inlineStr">
        <x:is>
          <x:t xml:space="preserve">Type</x:t>
        </x:is>
      </x:c>
    </x:row>
    <x:row r="3" ht="54" customHeight="1">
      <x:c r="A3" s="3" t="inlineStr">
        <x:is>
          <x:t xml:space="preserve">TC-001</x:t>
        </x:is>
      </x:c>
      <x:c r="B3" s="4" t="inlineStr">
        <x:is>
          <x:t xml:space="preserve">Login</x:t>
        </x:is>
      </x:c>
      <x:c r="C3" s="5" t="inlineStr">
        <x:is>
          <x:t xml:space="preserve">Login with valid credentials</x:t>
        </x:is>
      </x:c>
      <x:c r="D3" s="5" t="inlineStr">
        <x:is>
          <x:t xml:space="preserve">User has valid Salesforce Developer Edition credentials.</x:t>
        </x:is>
      </x:c>
      <x:c r="E3" s="5" t="inlineStr">
        <x:is>
          <x:t xml:space="preserve">1. Open Salesforce login URL
2. Enter valid username
3. Enter valid password
4. Click Login</x:t>
        </x:is>
      </x:c>
      <x:c r="F3" s="5" t="inlineStr">
        <x:is>
          <x:t xml:space="preserve">User is logged in and Home page is displayed.</x:t>
        </x:is>
      </x:c>
      <x:c r="G3" s="4" t="inlineStr">
        <x:is>
          <x:t xml:space="preserve">High</x:t>
        </x:is>
      </x:c>
      <x:c r="H3" s="4" t="inlineStr">
        <x:is>
          <x:t xml:space="preserve">Smoke</x:t>
        </x:is>
      </x:c>
    </x:row>
    <x:row r="4" ht="54" customHeight="1">
      <x:c r="A4" s="3" t="inlineStr">
        <x:is>
          <x:t xml:space="preserve">TC-002</x:t>
        </x:is>
      </x:c>
      <x:c r="B4" s="4" t="inlineStr">
        <x:is>
          <x:t xml:space="preserve">Accounts</x:t>
        </x:is>
      </x:c>
      <x:c r="C4" s="5" t="inlineStr">
        <x:is>
          <x:t xml:space="preserve">Create Account</x:t>
        </x:is>
      </x:c>
      <x:c r="D4" s="5" t="inlineStr">
        <x:is>
          <x:t xml:space="preserve">User is logged in to Salesforce.</x:t>
        </x:is>
      </x:c>
      <x:c r="E4" s="5" t="inlineStr">
        <x:is>
          <x:t xml:space="preserve">1. Navigate to Accounts
2. Click New
3. Enter Account Name
4. Click Save</x:t>
        </x:is>
      </x:c>
      <x:c r="F4" s="5" t="inlineStr">
        <x:is>
          <x:t xml:space="preserve">New account is created and displayed in the record page/list view.</x:t>
        </x:is>
      </x:c>
      <x:c r="G4" s="4" t="inlineStr">
        <x:is>
          <x:t xml:space="preserve">High</x:t>
        </x:is>
      </x:c>
      <x:c r="H4" s="4" t="inlineStr">
        <x:is>
          <x:t xml:space="preserve">Regression</x:t>
        </x:is>
      </x:c>
    </x:row>
    <x:row r="5" ht="54" customHeight="1">
      <x:c r="A5" s="3" t="inlineStr">
        <x:is>
          <x:t xml:space="preserve">TC-003</x:t>
        </x:is>
      </x:c>
      <x:c r="B5" s="4" t="inlineStr">
        <x:is>
          <x:t xml:space="preserve">Accounts</x:t>
        </x:is>
      </x:c>
      <x:c r="C5" s="5" t="inlineStr">
        <x:is>
          <x:t xml:space="preserve">Edit Account</x:t>
        </x:is>
      </x:c>
      <x:c r="D5" s="5" t="inlineStr">
        <x:is>
          <x:t xml:space="preserve">An existing account is available.</x:t>
        </x:is>
      </x:c>
      <x:c r="E5" s="5" t="inlineStr">
        <x:is>
          <x:t xml:space="preserve">1. Navigate to Accounts
2. Open an existing account
3. Click Edit
4. Update a field
5. Click Save</x:t>
        </x:is>
      </x:c>
      <x:c r="F5" s="5" t="inlineStr">
        <x:is>
          <x:t xml:space="preserve">Account changes are saved successfully.</x:t>
        </x:is>
      </x:c>
      <x:c r="G5" s="4" t="inlineStr">
        <x:is>
          <x:t xml:space="preserve">Medium</x:t>
        </x:is>
      </x:c>
      <x:c r="H5" s="4" t="inlineStr">
        <x:is>
          <x:t xml:space="preserve">Regression</x:t>
        </x:is>
      </x:c>
    </x:row>
    <x:row r="6" ht="54" customHeight="1">
      <x:c r="A6" s="3" t="inlineStr">
        <x:is>
          <x:t xml:space="preserve">TC-004</x:t>
        </x:is>
      </x:c>
      <x:c r="B6" s="4" t="inlineStr">
        <x:is>
          <x:t xml:space="preserve">Accounts</x:t>
        </x:is>
      </x:c>
      <x:c r="C6" s="5" t="inlineStr">
        <x:is>
          <x:t xml:space="preserve">Delete Account</x:t>
        </x:is>
      </x:c>
      <x:c r="D6" s="5" t="inlineStr">
        <x:is>
          <x:t xml:space="preserve">An existing account is available and can be deleted.</x:t>
        </x:is>
      </x:c>
      <x:c r="E6" s="5" t="inlineStr">
        <x:is>
          <x:t xml:space="preserve">1. Navigate to Accounts
2. Open an existing account
3. Click Delete
4. Confirm deletion</x:t>
        </x:is>
      </x:c>
      <x:c r="F6" s="5" t="inlineStr">
        <x:is>
          <x:t xml:space="preserve">Account is deleted and no longer appears in list/search results.</x:t>
        </x:is>
      </x:c>
      <x:c r="G6" s="4" t="inlineStr">
        <x:is>
          <x:t xml:space="preserve">Medium</x:t>
        </x:is>
      </x:c>
      <x:c r="H6" s="4" t="inlineStr">
        <x:is>
          <x:t xml:space="preserve">Regression</x:t>
        </x:is>
      </x:c>
    </x:row>
    <x:row r="7" ht="54" customHeight="1">
      <x:c r="A7" s="3" t="inlineStr">
        <x:is>
          <x:t xml:space="preserve">TC-005</x:t>
        </x:is>
      </x:c>
      <x:c r="B7" s="4" t="inlineStr">
        <x:is>
          <x:t xml:space="preserve">Contacts</x:t>
        </x:is>
      </x:c>
      <x:c r="C7" s="5" t="inlineStr">
        <x:is>
          <x:t xml:space="preserve">Create Contact</x:t>
        </x:is>
      </x:c>
      <x:c r="D7" s="5" t="inlineStr">
        <x:is>
          <x:t xml:space="preserve">User is logged in and at least one account exists.</x:t>
        </x:is>
      </x:c>
      <x:c r="E7" s="5" t="inlineStr">
        <x:is>
          <x:t xml:space="preserve">1. Navigate to Contacts
2. Click New
3. Enter First Name
4. Enter Last Name
5. Select Account
6. Click Save</x:t>
        </x:is>
      </x:c>
      <x:c r="F7" s="5" t="inlineStr">
        <x:is>
          <x:t xml:space="preserve">Contact is created successfully and linked to the selected account.</x:t>
        </x:is>
      </x:c>
      <x:c r="G7" s="4" t="inlineStr">
        <x:is>
          <x:t xml:space="preserve">High</x:t>
        </x:is>
      </x:c>
      <x:c r="H7" s="4" t="inlineStr">
        <x:is>
          <x:t xml:space="preserve">Regression</x:t>
        </x:is>
      </x:c>
    </x:row>
    <x:row r="8" ht="54" customHeight="1">
      <x:c r="A8" s="3" t="inlineStr">
        <x:is>
          <x:t xml:space="preserve">TC-006</x:t>
        </x:is>
      </x:c>
      <x:c r="B8" s="4" t="inlineStr">
        <x:is>
          <x:t xml:space="preserve">Leads</x:t>
        </x:is>
      </x:c>
      <x:c r="C8" s="5" t="inlineStr">
        <x:is>
          <x:t xml:space="preserve">Create Lead</x:t>
        </x:is>
      </x:c>
      <x:c r="D8" s="5" t="inlineStr">
        <x:is>
          <x:t xml:space="preserve">User is logged in to Salesforce.</x:t>
        </x:is>
      </x:c>
      <x:c r="E8" s="5" t="inlineStr">
        <x:is>
          <x:t xml:space="preserve">1. Navigate to Leads
2. Click New
3. Enter First Name
4. Enter Last Name
5. Enter Company
6. Click Save</x:t>
        </x:is>
      </x:c>
      <x:c r="F8" s="5" t="inlineStr">
        <x:is>
          <x:t xml:space="preserve">Lead is created successfully.</x:t>
        </x:is>
      </x:c>
      <x:c r="G8" s="4" t="inlineStr">
        <x:is>
          <x:t xml:space="preserve">High</x:t>
        </x:is>
      </x:c>
      <x:c r="H8" s="4" t="inlineStr">
        <x:is>
          <x:t xml:space="preserve">Regression</x:t>
        </x:is>
      </x:c>
    </x:row>
    <x:row r="9" ht="54" customHeight="1">
      <x:c r="A9" s="3" t="inlineStr">
        <x:is>
          <x:t xml:space="preserve">TC-007</x:t>
        </x:is>
      </x:c>
      <x:c r="B9" s="4" t="inlineStr">
        <x:is>
          <x:t xml:space="preserve">Leads</x:t>
        </x:is>
      </x:c>
      <x:c r="C9" s="5" t="inlineStr">
        <x:is>
          <x:t xml:space="preserve">Convert Lead</x:t>
        </x:is>
      </x:c>
      <x:c r="D9" s="5" t="inlineStr">
        <x:is>
          <x:t xml:space="preserve">An existing lead is available for conversion.</x:t>
        </x:is>
      </x:c>
      <x:c r="E9" s="5" t="inlineStr">
        <x:is>
          <x:t xml:space="preserve">1. Navigate to Leads
2. Open a lead
3. Click Convert
4. Confirm conversion options
5. Click Convert</x:t>
        </x:is>
      </x:c>
      <x:c r="F9" s="5" t="inlineStr">
        <x:is>
          <x:t xml:space="preserve">Lead is converted and related Account, Contact, and Opportunity are created as applicable.</x:t>
        </x:is>
      </x:c>
      <x:c r="G9" s="4" t="inlineStr">
        <x:is>
          <x:t xml:space="preserve">High</x:t>
        </x:is>
      </x:c>
      <x:c r="H9" s="4" t="inlineStr">
        <x:is>
          <x:t xml:space="preserve">Regression</x:t>
        </x:is>
      </x:c>
    </x:row>
    <x:row r="10" ht="54" customHeight="1">
      <x:c r="A10" s="3" t="inlineStr">
        <x:is>
          <x:t xml:space="preserve">TC-008</x:t>
        </x:is>
      </x:c>
      <x:c r="B10" s="4" t="inlineStr">
        <x:is>
          <x:t xml:space="preserve">Opportunities</x:t>
        </x:is>
      </x:c>
      <x:c r="C10" s="5" t="inlineStr">
        <x:is>
          <x:t xml:space="preserve">Create Opportunity</x:t>
        </x:is>
      </x:c>
      <x:c r="D10" s="5" t="inlineStr">
        <x:is>
          <x:t xml:space="preserve">User is logged in and an account exists.</x:t>
        </x:is>
      </x:c>
      <x:c r="E10" s="5" t="inlineStr">
        <x:is>
          <x:t xml:space="preserve">1. Navigate to Opportunities
2. Click New
3. Enter Opportunity Name
4. Select Stage
5. Enter Close Date
6. Click Save</x:t>
        </x:is>
      </x:c>
      <x:c r="F10" s="5" t="inlineStr">
        <x:is>
          <x:t xml:space="preserve">Opportunity is created successfully.</x:t>
        </x:is>
      </x:c>
      <x:c r="G10" s="4" t="inlineStr">
        <x:is>
          <x:t xml:space="preserve">High</x:t>
        </x:is>
      </x:c>
      <x:c r="H10" s="4" t="inlineStr">
        <x:is>
          <x:t xml:space="preserve">Regression</x:t>
        </x:is>
      </x:c>
    </x:row>
    <x:row r="11" ht="54" customHeight="1">
      <x:c r="A11" s="3" t="inlineStr">
        <x:is>
          <x:t xml:space="preserve">TC-009</x:t>
        </x:is>
      </x:c>
      <x:c r="B11" s="4" t="inlineStr">
        <x:is>
          <x:t xml:space="preserve">Opportunities</x:t>
        </x:is>
      </x:c>
      <x:c r="C11" s="5" t="inlineStr">
        <x:is>
          <x:t xml:space="preserve">Update Opportunity Stage</x:t>
        </x:is>
      </x:c>
      <x:c r="D11" s="5" t="inlineStr">
        <x:is>
          <x:t xml:space="preserve">An existing opportunity is available.</x:t>
        </x:is>
      </x:c>
      <x:c r="E11" s="5" t="inlineStr">
        <x:is>
          <x:t xml:space="preserve">1. Navigate to Opportunities
2. Open an opportunity
3. Click Edit
4. Change Stage
5. Click Save</x:t>
        </x:is>
      </x:c>
      <x:c r="F11" s="5" t="inlineStr">
        <x:is>
          <x:t xml:space="preserve">Opportunity stage is updated successfully.</x:t>
        </x:is>
      </x:c>
      <x:c r="G11" s="4" t="inlineStr">
        <x:is>
          <x:t xml:space="preserve">Medium</x:t>
        </x:is>
      </x:c>
      <x:c r="H11" s="4" t="inlineStr">
        <x:is>
          <x:t xml:space="preserve">Regression</x:t>
        </x:is>
      </x:c>
    </x:row>
    <x:row r="12" ht="54" customHeight="1">
      <x:c r="A12" s="3" t="inlineStr">
        <x:is>
          <x:t xml:space="preserve">TC-010</x:t>
        </x:is>
      </x:c>
      <x:c r="B12" s="4" t="inlineStr">
        <x:is>
          <x:t xml:space="preserve">Tasks</x:t>
        </x:is>
      </x:c>
      <x:c r="C12" s="5" t="inlineStr">
        <x:is>
          <x:t xml:space="preserve">Create Task</x:t>
        </x:is>
      </x:c>
      <x:c r="D12" s="5" t="inlineStr">
        <x:is>
          <x:t xml:space="preserve">User is logged in and a related record exists.</x:t>
        </x:is>
      </x:c>
      <x:c r="E12" s="5" t="inlineStr">
        <x:is>
          <x:t xml:space="preserve">1. Navigate to Tasks
2. Click New Task
3. Enter Subject
4. Select related record
5. Click Save</x:t>
        </x:is>
      </x:c>
      <x:c r="F12" s="5" t="inlineStr">
        <x:is>
          <x:t xml:space="preserve">Task is created successfully.</x:t>
        </x:is>
      </x:c>
      <x:c r="G12" s="4" t="inlineStr">
        <x:is>
          <x:t xml:space="preserve">Medium</x:t>
        </x:is>
      </x:c>
      <x:c r="H12" s="4" t="inlineStr">
        <x:is>
          <x:t xml:space="preserve">Regression</x:t>
        </x:is>
      </x:c>
    </x:row>
    <x:row r="13" ht="54" customHeight="1">
      <x:c r="A13" s="3" t="inlineStr">
        <x:is>
          <x:t xml:space="preserve">TC-011</x:t>
        </x:is>
      </x:c>
      <x:c r="B13" s="4" t="inlineStr">
        <x:is>
          <x:t xml:space="preserve">Calendar</x:t>
        </x:is>
      </x:c>
      <x:c r="C13" s="5" t="inlineStr">
        <x:is>
          <x:t xml:space="preserve">Create Event</x:t>
        </x:is>
      </x:c>
      <x:c r="D13" s="5" t="inlineStr">
        <x:is>
          <x:t xml:space="preserve">User is logged in to Salesforce.</x:t>
        </x:is>
      </x:c>
      <x:c r="E13" s="5" t="inlineStr">
        <x:is>
          <x:t xml:space="preserve">1. Navigate to Calendar
2. Click New Event
3. Enter title
4. Select date/time
5. Click Save</x:t>
        </x:is>
      </x:c>
      <x:c r="F13" s="5" t="inlineStr">
        <x:is>
          <x:t xml:space="preserve">Event is created and appears on the calendar.</x:t>
        </x:is>
      </x:c>
      <x:c r="G13" s="4" t="inlineStr">
        <x:is>
          <x:t xml:space="preserve">Low</x:t>
        </x:is>
      </x:c>
      <x:c r="H13" s="4" t="inlineStr">
        <x:is>
          <x:t xml:space="preserve">Regression</x:t>
        </x:is>
      </x:c>
    </x:row>
    <x:row r="14" ht="54" customHeight="1">
      <x:c r="A14" s="3" t="inlineStr">
        <x:is>
          <x:t xml:space="preserve">TC-012</x:t>
        </x:is>
      </x:c>
      <x:c r="B14" s="4" t="inlineStr">
        <x:is>
          <x:t xml:space="preserve">Reports</x:t>
        </x:is>
      </x:c>
      <x:c r="C14" s="5" t="inlineStr">
        <x:is>
          <x:t xml:space="preserve">Generate Report</x:t>
        </x:is>
      </x:c>
      <x:c r="D14" s="5" t="inlineStr">
        <x:is>
          <x:t xml:space="preserve">User is logged in and has report access.</x:t>
        </x:is>
      </x:c>
      <x:c r="E14" s="5" t="inlineStr">
        <x:is>
          <x:t xml:space="preserve">1. Navigate to Reports
2. Click New Report
3. Select report type
4. Run report</x:t>
        </x:is>
      </x:c>
      <x:c r="F14" s="5" t="inlineStr">
        <x:is>
          <x:t xml:space="preserve">Report is generated successfully with expected data.</x:t>
        </x:is>
      </x:c>
      <x:c r="G14" s="4" t="inlineStr">
        <x:is>
          <x:t xml:space="preserve">Medium</x:t>
        </x:is>
      </x:c>
      <x:c r="H14" s="4" t="inlineStr">
        <x:is>
          <x:t xml:space="preserve">Regression</x:t>
        </x:is>
      </x:c>
    </x:row>
    <x:row r="15" ht="54" customHeight="1">
      <x:c r="A15" s="3" t="inlineStr">
        <x:is>
          <x:t xml:space="preserve">TC-013</x:t>
        </x:is>
      </x:c>
      <x:c r="B15" s="4" t="inlineStr">
        <x:is>
          <x:t xml:space="preserve">Reports</x:t>
        </x:is>
      </x:c>
      <x:c r="C15" s="5" t="inlineStr">
        <x:is>
          <x:t xml:space="preserve">Export Report</x:t>
        </x:is>
      </x:c>
      <x:c r="D15" s="5" t="inlineStr">
        <x:is>
          <x:t xml:space="preserve">A report is available to export.</x:t>
        </x:is>
      </x:c>
      <x:c r="E15" s="5" t="inlineStr">
        <x:is>
          <x:t xml:space="preserve">1. Open a report
2. Click Export
3. Choose export format
4. Confirm export</x:t>
        </x:is>
      </x:c>
      <x:c r="F15" s="5" t="inlineStr">
        <x:is>
          <x:t xml:space="preserve">Report export completes successfully.</x:t>
        </x:is>
      </x:c>
      <x:c r="G15" s="4" t="inlineStr">
        <x:is>
          <x:t xml:space="preserve">Low</x:t>
        </x:is>
      </x:c>
      <x:c r="H15" s="4" t="inlineStr">
        <x:is>
          <x:t xml:space="preserve">Regression</x:t>
        </x:is>
      </x:c>
    </x:row>
    <x:row r="16" ht="54" customHeight="1">
      <x:c r="A16" s="3" t="inlineStr">
        <x:is>
          <x:t xml:space="preserve">TC-014</x:t>
        </x:is>
      </x:c>
      <x:c r="B16" s="4" t="inlineStr">
        <x:is>
          <x:t xml:space="preserve">Validation</x:t>
        </x:is>
      </x:c>
      <x:c r="C16" s="5" t="inlineStr">
        <x:is>
          <x:t xml:space="preserve">Account required field validation</x:t>
        </x:is>
      </x:c>
      <x:c r="D16" s="5" t="inlineStr">
        <x:is>
          <x:t xml:space="preserve">User is logged in to Salesforce.</x:t>
        </x:is>
      </x:c>
      <x:c r="E16" s="5" t="inlineStr">
        <x:is>
          <x:t xml:space="preserve">1. Navigate to Accounts
2. Click New
3. Leave Account Name blank
4. Click Save</x:t>
        </x:is>
      </x:c>
      <x:c r="F16" s="5" t="inlineStr">
        <x:is>
          <x:t xml:space="preserve">Validation error is displayed and record is not saved.</x:t>
        </x:is>
      </x:c>
      <x:c r="G16" s="4" t="inlineStr">
        <x:is>
          <x:t xml:space="preserve">High</x:t>
        </x:is>
      </x:c>
      <x:c r="H16" s="4" t="inlineStr">
        <x:is>
          <x:t xml:space="preserve">Regression</x:t>
        </x:is>
      </x:c>
    </x:row>
    <x:row r="17" ht="54" customHeight="1">
      <x:c r="A17" s="3" t="inlineStr">
        <x:is>
          <x:t xml:space="preserve">TC-015</x:t>
        </x:is>
      </x:c>
      <x:c r="B17" s="4" t="inlineStr">
        <x:is>
          <x:t xml:space="preserve">Validation</x:t>
        </x:is>
      </x:c>
      <x:c r="C17" s="5" t="inlineStr">
        <x:is>
          <x:t xml:space="preserve">Duplicate record validation</x:t>
        </x:is>
      </x:c>
      <x:c r="D17" s="5" t="inlineStr">
        <x:is>
          <x:t xml:space="preserve">A record already exists with duplicate criteria.</x:t>
        </x:is>
      </x:c>
      <x:c r="E17" s="5" t="inlineStr">
        <x:is>
          <x:t xml:space="preserve">1. Attempt to create a duplicate record
2. Save the record</x:t>
        </x:is>
      </x:c>
      <x:c r="F17" s="5" t="inlineStr">
        <x:is>
          <x:t xml:space="preserve">System displays duplicate warning/error based on configured rule.</x:t>
        </x:is>
      </x:c>
      <x:c r="G17" s="4" t="inlineStr">
        <x:is>
          <x:t xml:space="preserve">Medium</x:t>
        </x:is>
      </x:c>
      <x:c r="H17" s="4" t="inlineStr">
        <x:is>
          <x:t xml:space="preserve">Regression</x:t>
        </x:is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2022a69235c74312"/>
  <x:tableParts count="1">
    <x:tablePart xmlns:r="http://schemas.openxmlformats.org/officeDocument/2006/relationships" r:id="R9e46d84b5d5b41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5" customWidth="1"/>
    <x:col min="3" max="3" width="28" customWidth="1"/>
    <x:col min="4" max="4" width="12" customWidth="1"/>
    <x:col min="5" max="5" width="24" customWidth="1"/>
    <x:col min="6" max="6" width="36" customWidth="1"/>
    <x:col min="7" max="7" width="28" customWidth="1"/>
    <x:col min="8" max="8" width="12" customWidth="1"/>
    <x:col min="9" max="9" width="24" customWidth="1"/>
    <x:col min="10" max="10" width="14" customWidth="1"/>
    <x:col min="11" max="11" width="14" customWidth="1"/>
    <x:col min="12" max="12" width="13" customWidth="1"/>
    <x:col min="13" max="13" width="22" customWidth="1"/>
  </x:cols>
  <x:sheetData>
    <x:row r="1">
      <x:c r="A1" s="1" t="inlineStr">
        <x:is>
          <x:t xml:space="preserve">Execution Report</x:t>
        </x:is>
      </x:c>
    </x:row>
    <x:row r="3">
      <x:c r="A3" s="6" t="inlineStr">
        <x:is>
          <x:t xml:space="preserve">Execution Cycle</x:t>
        </x:is>
      </x:c>
      <x:c r="B3" s="7" t="inlineStr">
        <x:is>
          <x:t xml:space="preserve">Cycle 1</x:t>
        </x:is>
      </x:c>
      <x:c r="D3" s="6" t="inlineStr">
        <x:is>
          <x:t xml:space="preserve">Tested By</x:t>
        </x:is>
      </x:c>
      <x:c r="E3" s="7" t="inlineStr">
        <x:is>
          <x:t xml:space="preserve"/>
        </x:is>
      </x:c>
      <x:c r="G3" s="6" t="inlineStr">
        <x:is>
          <x:t xml:space="preserve">Execution Date</x:t>
        </x:is>
      </x:c>
      <x:c r="H3" s="8" t="n">
        <x:v>46104</x:v>
      </x:c>
      <x:c r="J3" s="9" t="inlineStr">
        <x:is>
          <x:t xml:space="preserve">Update Status / Actual Result / Defect ID / Tester / Date during execution.</x:t>
        </x:is>
      </x:c>
    </x:row>
    <x:row r="4"/>
    <x:row r="5">
      <x:c r="A5" s="10" t="inlineStr">
        <x:is>
          <x:t xml:space="preserve">Overall Summary</x:t>
        </x:is>
      </x:c>
      <x:c r="E5" s="10" t="inlineStr">
        <x:is>
          <x:t xml:space="preserve">Summary by Module</x:t>
        </x:is>
      </x:c>
    </x:row>
    <x:row r="6">
      <x:c r="A6" s="11" t="inlineStr">
        <x:is>
          <x:t xml:space="preserve">Total Cases</x:t>
        </x:is>
      </x:c>
      <x:c r="B6" s="12">
        <x:f>COUNTA(A19:A33)</x:f>
        <x:v>15</x:v>
      </x:c>
      <x:c r="E6" s="10" t="inlineStr">
        <x:is>
          <x:t xml:space="preserve">Module</x:t>
        </x:is>
      </x:c>
      <x:c r="F6" s="10" t="inlineStr">
        <x:is>
          <x:t xml:space="preserve">Total</x:t>
        </x:is>
      </x:c>
      <x:c r="G6" s="10" t="inlineStr">
        <x:is>
          <x:t xml:space="preserve">Pass</x:t>
        </x:is>
      </x:c>
      <x:c r="H6" s="10" t="inlineStr">
        <x:is>
          <x:t xml:space="preserve">Fail</x:t>
        </x:is>
      </x:c>
      <x:c r="I6" s="10" t="inlineStr">
        <x:is>
          <x:t xml:space="preserve">Blocked</x:t>
        </x:is>
      </x:c>
      <x:c r="J6" s="10" t="inlineStr">
        <x:is>
          <x:t xml:space="preserve">Not Run</x:t>
        </x:is>
      </x:c>
      <x:c r="K6" s="10" t="inlineStr">
        <x:is>
          <x:t xml:space="preserve">Pass Rate</x:t>
        </x:is>
      </x:c>
    </x:row>
    <x:row r="7">
      <x:c r="A7" s="11" t="inlineStr">
        <x:is>
          <x:t xml:space="preserve">Pass</x:t>
        </x:is>
      </x:c>
      <x:c r="B7" s="12">
        <x:f>COUNTIF(H19:H33,"Pass")</x:f>
        <x:v>0</x:v>
      </x:c>
      <x:c r="E7" s="11" t="inlineStr">
        <x:is>
          <x:t xml:space="preserve">Login</x:t>
        </x:is>
      </x:c>
      <x:c r="F7" s="13">
        <x:f>COUNTIF($B$19:$B$33,E7)</x:f>
        <x:v>1</x:v>
      </x:c>
      <x:c r="G7" s="13">
        <x:f>COUNTIFS($B$19:$B$33,E7,$H$19:$H$33,"Pass")</x:f>
        <x:v>0</x:v>
      </x:c>
      <x:c r="H7" s="13">
        <x:f>COUNTIFS($B$19:$B$33,E7,$H$19:$H$33,"Fail")</x:f>
        <x:v>0</x:v>
      </x:c>
      <x:c r="I7" s="13">
        <x:f>COUNTIFS($B$19:$B$33,E7,$H$19:$H$33,"Blocked")</x:f>
        <x:v>0</x:v>
      </x:c>
      <x:c r="J7" s="13">
        <x:f>COUNTIFS($B$19:$B$33,E7,$H$19:$H$33,"Not Run")</x:f>
        <x:v>1</x:v>
      </x:c>
      <x:c r="K7" s="14">
        <x:f>IF(F7=0,0,G7/F7)</x:f>
        <x:v>0</x:v>
      </x:c>
    </x:row>
    <x:row r="8">
      <x:c r="A8" s="11" t="inlineStr">
        <x:is>
          <x:t xml:space="preserve">Fail</x:t>
        </x:is>
      </x:c>
      <x:c r="B8" s="15">
        <x:f>COUNTIF(H19:H33,"Fail")</x:f>
        <x:v>0</x:v>
      </x:c>
      <x:c r="E8" s="11" t="inlineStr">
        <x:is>
          <x:t xml:space="preserve">Accounts</x:t>
        </x:is>
      </x:c>
      <x:c r="F8" s="13">
        <x:f>COUNTIF($B$19:$B$33,E8)</x:f>
        <x:v>3</x:v>
      </x:c>
      <x:c r="G8" s="13">
        <x:f>COUNTIFS($B$19:$B$33,E8,$H$19:$H$33,"Pass")</x:f>
        <x:v>0</x:v>
      </x:c>
      <x:c r="H8" s="13">
        <x:f>COUNTIFS($B$19:$B$33,E8,$H$19:$H$33,"Fail")</x:f>
        <x:v>0</x:v>
      </x:c>
      <x:c r="I8" s="13">
        <x:f>COUNTIFS($B$19:$B$33,E8,$H$19:$H$33,"Blocked")</x:f>
        <x:v>0</x:v>
      </x:c>
      <x:c r="J8" s="13">
        <x:f>COUNTIFS($B$19:$B$33,E8,$H$19:$H$33,"Not Run")</x:f>
        <x:v>3</x:v>
      </x:c>
      <x:c r="K8" s="14">
        <x:f>IF(F8=0,0,G8/F8)</x:f>
        <x:v>0</x:v>
      </x:c>
    </x:row>
    <x:row r="9">
      <x:c r="A9" s="11" t="inlineStr">
        <x:is>
          <x:t xml:space="preserve">Blocked</x:t>
        </x:is>
      </x:c>
      <x:c r="B9" s="15">
        <x:f>COUNTIF(H19:H33,"Blocked")</x:f>
        <x:v>0</x:v>
      </x:c>
      <x:c r="E9" s="11" t="inlineStr">
        <x:is>
          <x:t xml:space="preserve">Contacts</x:t>
        </x:is>
      </x:c>
      <x:c r="F9" s="13">
        <x:f>COUNTIF($B$19:$B$33,E9)</x:f>
        <x:v>1</x:v>
      </x:c>
      <x:c r="G9" s="13">
        <x:f>COUNTIFS($B$19:$B$33,E9,$H$19:$H$33,"Pass")</x:f>
        <x:v>0</x:v>
      </x:c>
      <x:c r="H9" s="13">
        <x:f>COUNTIFS($B$19:$B$33,E9,$H$19:$H$33,"Fail")</x:f>
        <x:v>0</x:v>
      </x:c>
      <x:c r="I9" s="13">
        <x:f>COUNTIFS($B$19:$B$33,E9,$H$19:$H$33,"Blocked")</x:f>
        <x:v>0</x:v>
      </x:c>
      <x:c r="J9" s="13">
        <x:f>COUNTIFS($B$19:$B$33,E9,$H$19:$H$33,"Not Run")</x:f>
        <x:v>1</x:v>
      </x:c>
      <x:c r="K9" s="14">
        <x:f>IF(F9=0,0,G9/F9)</x:f>
        <x:v>0</x:v>
      </x:c>
    </x:row>
    <x:row r="10">
      <x:c r="A10" s="11" t="inlineStr">
        <x:is>
          <x:t xml:space="preserve">Not Run</x:t>
        </x:is>
      </x:c>
      <x:c r="B10" s="15">
        <x:f>COUNTIF(H19:H33,"Not Run")</x:f>
        <x:v>15</x:v>
      </x:c>
      <x:c r="E10" s="11" t="inlineStr">
        <x:is>
          <x:t xml:space="preserve">Leads</x:t>
        </x:is>
      </x:c>
      <x:c r="F10" s="13">
        <x:f>COUNTIF($B$19:$B$33,E10)</x:f>
        <x:v>2</x:v>
      </x:c>
      <x:c r="G10" s="13">
        <x:f>COUNTIFS($B$19:$B$33,E10,$H$19:$H$33,"Pass")</x:f>
        <x:v>0</x:v>
      </x:c>
      <x:c r="H10" s="13">
        <x:f>COUNTIFS($B$19:$B$33,E10,$H$19:$H$33,"Fail")</x:f>
        <x:v>0</x:v>
      </x:c>
      <x:c r="I10" s="13">
        <x:f>COUNTIFS($B$19:$B$33,E10,$H$19:$H$33,"Blocked")</x:f>
        <x:v>0</x:v>
      </x:c>
      <x:c r="J10" s="13">
        <x:f>COUNTIFS($B$19:$B$33,E10,$H$19:$H$33,"Not Run")</x:f>
        <x:v>2</x:v>
      </x:c>
      <x:c r="K10" s="14">
        <x:f>IF(F10=0,0,G10/F10)</x:f>
        <x:v>0</x:v>
      </x:c>
    </x:row>
    <x:row r="11">
      <x:c r="A11" s="11" t="inlineStr">
        <x:is>
          <x:t xml:space="preserve">Pass Rate</x:t>
        </x:is>
      </x:c>
      <x:c r="B11" s="16">
        <x:f>IF(B6=0,0,B7/B6)</x:f>
        <x:v>0</x:v>
      </x:c>
      <x:c r="E11" s="11" t="inlineStr">
        <x:is>
          <x:t xml:space="preserve">Opportunities</x:t>
        </x:is>
      </x:c>
      <x:c r="F11" s="13">
        <x:f>COUNTIF($B$19:$B$33,E11)</x:f>
        <x:v>2</x:v>
      </x:c>
      <x:c r="G11" s="13">
        <x:f>COUNTIFS($B$19:$B$33,E11,$H$19:$H$33,"Pass")</x:f>
        <x:v>0</x:v>
      </x:c>
      <x:c r="H11" s="13">
        <x:f>COUNTIFS($B$19:$B$33,E11,$H$19:$H$33,"Fail")</x:f>
        <x:v>0</x:v>
      </x:c>
      <x:c r="I11" s="13">
        <x:f>COUNTIFS($B$19:$B$33,E11,$H$19:$H$33,"Blocked")</x:f>
        <x:v>0</x:v>
      </x:c>
      <x:c r="J11" s="13">
        <x:f>COUNTIFS($B$19:$B$33,E11,$H$19:$H$33,"Not Run")</x:f>
        <x:v>2</x:v>
      </x:c>
      <x:c r="K11" s="14">
        <x:f>IF(F11=0,0,G11/F11)</x:f>
        <x:v>0</x:v>
      </x:c>
    </x:row>
    <x:row r="12">
      <x:c r="E12" s="11" t="inlineStr">
        <x:is>
          <x:t xml:space="preserve">Tasks</x:t>
        </x:is>
      </x:c>
      <x:c r="F12" s="13">
        <x:f>COUNTIF($B$19:$B$33,E12)</x:f>
        <x:v>1</x:v>
      </x:c>
      <x:c r="G12" s="13">
        <x:f>COUNTIFS($B$19:$B$33,E12,$H$19:$H$33,"Pass")</x:f>
        <x:v>0</x:v>
      </x:c>
      <x:c r="H12" s="13">
        <x:f>COUNTIFS($B$19:$B$33,E12,$H$19:$H$33,"Fail")</x:f>
        <x:v>0</x:v>
      </x:c>
      <x:c r="I12" s="13">
        <x:f>COUNTIFS($B$19:$B$33,E12,$H$19:$H$33,"Blocked")</x:f>
        <x:v>0</x:v>
      </x:c>
      <x:c r="J12" s="13">
        <x:f>COUNTIFS($B$19:$B$33,E12,$H$19:$H$33,"Not Run")</x:f>
        <x:v>1</x:v>
      </x:c>
      <x:c r="K12" s="14">
        <x:f>IF(F12=0,0,G12/F12)</x:f>
        <x:v>0</x:v>
      </x:c>
    </x:row>
    <x:row r="13">
      <x:c r="E13" s="11" t="inlineStr">
        <x:is>
          <x:t xml:space="preserve">Calendar</x:t>
        </x:is>
      </x:c>
      <x:c r="F13" s="13">
        <x:f>COUNTIF($B$19:$B$33,E13)</x:f>
        <x:v>1</x:v>
      </x:c>
      <x:c r="G13" s="13">
        <x:f>COUNTIFS($B$19:$B$33,E13,$H$19:$H$33,"Pass")</x:f>
        <x:v>0</x:v>
      </x:c>
      <x:c r="H13" s="13">
        <x:f>COUNTIFS($B$19:$B$33,E13,$H$19:$H$33,"Fail")</x:f>
        <x:v>0</x:v>
      </x:c>
      <x:c r="I13" s="13">
        <x:f>COUNTIFS($B$19:$B$33,E13,$H$19:$H$33,"Blocked")</x:f>
        <x:v>0</x:v>
      </x:c>
      <x:c r="J13" s="13">
        <x:f>COUNTIFS($B$19:$B$33,E13,$H$19:$H$33,"Not Run")</x:f>
        <x:v>1</x:v>
      </x:c>
      <x:c r="K13" s="14">
        <x:f>IF(F13=0,0,G13/F13)</x:f>
        <x:v>0</x:v>
      </x:c>
    </x:row>
    <x:row r="14">
      <x:c r="E14" s="11" t="inlineStr">
        <x:is>
          <x:t xml:space="preserve">Reports</x:t>
        </x:is>
      </x:c>
      <x:c r="F14" s="13">
        <x:f>COUNTIF($B$19:$B$33,E14)</x:f>
        <x:v>2</x:v>
      </x:c>
      <x:c r="G14" s="13">
        <x:f>COUNTIFS($B$19:$B$33,E14,$H$19:$H$33,"Pass")</x:f>
        <x:v>0</x:v>
      </x:c>
      <x:c r="H14" s="13">
        <x:f>COUNTIFS($B$19:$B$33,E14,$H$19:$H$33,"Fail")</x:f>
        <x:v>0</x:v>
      </x:c>
      <x:c r="I14" s="13">
        <x:f>COUNTIFS($B$19:$B$33,E14,$H$19:$H$33,"Blocked")</x:f>
        <x:v>0</x:v>
      </x:c>
      <x:c r="J14" s="13">
        <x:f>COUNTIFS($B$19:$B$33,E14,$H$19:$H$33,"Not Run")</x:f>
        <x:v>2</x:v>
      </x:c>
      <x:c r="K14" s="14">
        <x:f>IF(F14=0,0,G14/F14)</x:f>
        <x:v>0</x:v>
      </x:c>
    </x:row>
    <x:row r="15">
      <x:c r="E15" s="11" t="inlineStr">
        <x:is>
          <x:t xml:space="preserve">Validation</x:t>
        </x:is>
      </x:c>
      <x:c r="F15" s="13">
        <x:f>COUNTIF($B$19:$B$33,E15)</x:f>
        <x:v>2</x:v>
      </x:c>
      <x:c r="G15" s="13">
        <x:f>COUNTIFS($B$19:$B$33,E15,$H$19:$H$33,"Pass")</x:f>
        <x:v>0</x:v>
      </x:c>
      <x:c r="H15" s="13">
        <x:f>COUNTIFS($B$19:$B$33,E15,$H$19:$H$33,"Fail")</x:f>
        <x:v>0</x:v>
      </x:c>
      <x:c r="I15" s="13">
        <x:f>COUNTIFS($B$19:$B$33,E15,$H$19:$H$33,"Blocked")</x:f>
        <x:v>0</x:v>
      </x:c>
      <x:c r="J15" s="13">
        <x:f>COUNTIFS($B$19:$B$33,E15,$H$19:$H$33,"Not Run")</x:f>
        <x:v>2</x:v>
      </x:c>
      <x:c r="K15" s="14">
        <x:f>IF(F15=0,0,G15/F15)</x:f>
        <x:v>0</x:v>
      </x:c>
    </x:row>
    <x:row r="17">
      <x:c r="A17" s="10" t="inlineStr">
        <x:is>
          <x:t xml:space="preserve">Execution Detail (linked from Test_Cases)</x:t>
        </x:is>
      </x:c>
    </x:row>
    <x:row r="18">
      <x:c r="A18" s="17" t="inlineStr">
        <x:is>
          <x:t xml:space="preserve">TC_ID</x:t>
        </x:is>
      </x:c>
      <x:c r="B18" s="17" t="inlineStr">
        <x:is>
          <x:t xml:space="preserve">Module</x:t>
        </x:is>
      </x:c>
      <x:c r="C18" s="17" t="inlineStr">
        <x:is>
          <x:t xml:space="preserve">Test Case</x:t>
        </x:is>
      </x:c>
      <x:c r="D18" s="17" t="inlineStr">
        <x:is>
          <x:t xml:space="preserve">Priority</x:t>
        </x:is>
      </x:c>
      <x:c r="E18" s="17" t="inlineStr">
        <x:is>
          <x:t xml:space="preserve">Preconditions</x:t>
        </x:is>
      </x:c>
      <x:c r="F18" s="17" t="inlineStr">
        <x:is>
          <x:t xml:space="preserve">Steps</x:t>
        </x:is>
      </x:c>
      <x:c r="G18" s="17" t="inlineStr">
        <x:is>
          <x:t xml:space="preserve">Expected Result</x:t>
        </x:is>
      </x:c>
      <x:c r="H18" s="17" t="inlineStr">
        <x:is>
          <x:t xml:space="preserve">Status</x:t>
        </x:is>
      </x:c>
      <x:c r="I18" s="17" t="inlineStr">
        <x:is>
          <x:t xml:space="preserve">Actual Result</x:t>
        </x:is>
      </x:c>
      <x:c r="J18" s="17" t="inlineStr">
        <x:is>
          <x:t xml:space="preserve">Defect ID</x:t>
        </x:is>
      </x:c>
      <x:c r="K18" s="17" t="inlineStr">
        <x:is>
          <x:t xml:space="preserve">Executed By</x:t>
        </x:is>
      </x:c>
      <x:c r="L18" s="17" t="inlineStr">
        <x:is>
          <x:t xml:space="preserve">Executed Date</x:t>
        </x:is>
      </x:c>
      <x:c r="M18" s="17" t="inlineStr">
        <x:is>
          <x:t xml:space="preserve">Comments</x:t>
        </x:is>
      </x:c>
    </x:row>
    <x:row r="19" ht="55" customHeight="1">
      <x:c r="A19" s="18" t="str">
        <x:f>'Test_Cases'!A3</x:f>
        <x:v>TC-001</x:v>
      </x:c>
      <x:c r="B19" s="19" t="str">
        <x:f>'Test_Cases'!B3</x:f>
        <x:v>Login</x:v>
      </x:c>
      <x:c r="C19" s="19" t="str">
        <x:f>'Test_Cases'!C3</x:f>
        <x:v>Login with valid credentials</x:v>
      </x:c>
      <x:c r="D19" s="19" t="str">
        <x:f>'Test_Cases'!G3</x:f>
        <x:v>High</x:v>
      </x:c>
      <x:c r="E19" s="19" t="str">
        <x:f>'Test_Cases'!D3</x:f>
        <x:v>User has valid Salesforce Developer Edition credentials.</x:v>
      </x:c>
      <x:c r="F19" s="19" t="str">
        <x:f>'Test_Cases'!E3</x:f>
        <x:v>1. Open Salesforce login URL
2. Enter valid username
3. Enter valid password
4. Click Login</x:v>
      </x:c>
      <x:c r="G19" s="19" t="str">
        <x:f>'Test_Cases'!F3</x:f>
        <x:v>User is logged in and Home page is displayed.</x:v>
      </x:c>
      <x:c r="H19" s="20" t="inlineStr">
        <x:is>
          <x:t xml:space="preserve">Not Run</x:t>
        </x:is>
      </x:c>
      <x:c r="I19" s="20" t="n"/>
      <x:c r="J19" s="20" t="n"/>
      <x:c r="K19" s="20" t="n"/>
      <x:c r="L19" s="21" t="n"/>
      <x:c r="M19" s="20" t="n"/>
    </x:row>
    <x:row r="20" ht="55" customHeight="1">
      <x:c r="A20" s="18" t="str">
        <x:f>'Test_Cases'!A4</x:f>
        <x:v>TC-002</x:v>
      </x:c>
      <x:c r="B20" s="19" t="str">
        <x:f>'Test_Cases'!B4</x:f>
        <x:v>Accounts</x:v>
      </x:c>
      <x:c r="C20" s="19" t="str">
        <x:f>'Test_Cases'!C4</x:f>
        <x:v>Create Account</x:v>
      </x:c>
      <x:c r="D20" s="19" t="str">
        <x:f>'Test_Cases'!G4</x:f>
        <x:v>High</x:v>
      </x:c>
      <x:c r="E20" s="19" t="str">
        <x:f>'Test_Cases'!D4</x:f>
        <x:v>User is logged in to Salesforce.</x:v>
      </x:c>
      <x:c r="F20" s="19" t="str">
        <x:f>'Test_Cases'!E4</x:f>
        <x:v>1. Navigate to Accounts
2. Click New
3. Enter Account Name
4. Click Save</x:v>
      </x:c>
      <x:c r="G20" s="19" t="str">
        <x:f>'Test_Cases'!F4</x:f>
        <x:v>New account is created and displayed in the record page/list view.</x:v>
      </x:c>
      <x:c r="H20" s="20" t="inlineStr">
        <x:is>
          <x:t xml:space="preserve">Not Run</x:t>
        </x:is>
      </x:c>
      <x:c r="I20" s="20" t="n"/>
      <x:c r="J20" s="20" t="n"/>
      <x:c r="K20" s="20" t="n"/>
      <x:c r="L20" s="21" t="n"/>
      <x:c r="M20" s="20" t="n"/>
    </x:row>
    <x:row r="21" ht="55" customHeight="1">
      <x:c r="A21" s="18" t="str">
        <x:f>'Test_Cases'!A5</x:f>
        <x:v>TC-003</x:v>
      </x:c>
      <x:c r="B21" s="19" t="str">
        <x:f>'Test_Cases'!B5</x:f>
        <x:v>Accounts</x:v>
      </x:c>
      <x:c r="C21" s="19" t="str">
        <x:f>'Test_Cases'!C5</x:f>
        <x:v>Edit Account</x:v>
      </x:c>
      <x:c r="D21" s="19" t="str">
        <x:f>'Test_Cases'!G5</x:f>
        <x:v>Medium</x:v>
      </x:c>
      <x:c r="E21" s="19" t="str">
        <x:f>'Test_Cases'!D5</x:f>
        <x:v>An existing account is available.</x:v>
      </x:c>
      <x:c r="F21" s="19" t="str">
        <x:f>'Test_Cases'!E5</x:f>
        <x:v>1. Navigate to Accounts
2. Open an existing account
3. Click Edit
4. Update a field
5. Click Save</x:v>
      </x:c>
      <x:c r="G21" s="19" t="str">
        <x:f>'Test_Cases'!F5</x:f>
        <x:v>Account changes are saved successfully.</x:v>
      </x:c>
      <x:c r="H21" s="20" t="inlineStr">
        <x:is>
          <x:t xml:space="preserve">Not Run</x:t>
        </x:is>
      </x:c>
      <x:c r="I21" s="20" t="n"/>
      <x:c r="J21" s="20" t="n"/>
      <x:c r="K21" s="20" t="n"/>
      <x:c r="L21" s="21" t="n"/>
      <x:c r="M21" s="20" t="n"/>
    </x:row>
    <x:row r="22" ht="55" customHeight="1">
      <x:c r="A22" s="18" t="str">
        <x:f>'Test_Cases'!A6</x:f>
        <x:v>TC-004</x:v>
      </x:c>
      <x:c r="B22" s="19" t="str">
        <x:f>'Test_Cases'!B6</x:f>
        <x:v>Accounts</x:v>
      </x:c>
      <x:c r="C22" s="19" t="str">
        <x:f>'Test_Cases'!C6</x:f>
        <x:v>Delete Account</x:v>
      </x:c>
      <x:c r="D22" s="19" t="str">
        <x:f>'Test_Cases'!G6</x:f>
        <x:v>Medium</x:v>
      </x:c>
      <x:c r="E22" s="19" t="str">
        <x:f>'Test_Cases'!D6</x:f>
        <x:v>An existing account is available and can be deleted.</x:v>
      </x:c>
      <x:c r="F22" s="19" t="str">
        <x:f>'Test_Cases'!E6</x:f>
        <x:v>1. Navigate to Accounts
2. Open an existing account
3. Click Delete
4. Confirm deletion</x:v>
      </x:c>
      <x:c r="G22" s="19" t="str">
        <x:f>'Test_Cases'!F6</x:f>
        <x:v>Account is deleted and no longer appears in list/search results.</x:v>
      </x:c>
      <x:c r="H22" s="20" t="inlineStr">
        <x:is>
          <x:t xml:space="preserve">Not Run</x:t>
        </x:is>
      </x:c>
      <x:c r="I22" s="20" t="n"/>
      <x:c r="J22" s="20" t="n"/>
      <x:c r="K22" s="20" t="n"/>
      <x:c r="L22" s="21" t="n"/>
      <x:c r="M22" s="20" t="n"/>
    </x:row>
    <x:row r="23" ht="55" customHeight="1">
      <x:c r="A23" s="18" t="str">
        <x:f>'Test_Cases'!A7</x:f>
        <x:v>TC-005</x:v>
      </x:c>
      <x:c r="B23" s="19" t="str">
        <x:f>'Test_Cases'!B7</x:f>
        <x:v>Contacts</x:v>
      </x:c>
      <x:c r="C23" s="19" t="str">
        <x:f>'Test_Cases'!C7</x:f>
        <x:v>Create Contact</x:v>
      </x:c>
      <x:c r="D23" s="19" t="str">
        <x:f>'Test_Cases'!G7</x:f>
        <x:v>High</x:v>
      </x:c>
      <x:c r="E23" s="19" t="str">
        <x:f>'Test_Cases'!D7</x:f>
        <x:v>User is logged in and at least one account exists.</x:v>
      </x:c>
      <x:c r="F23" s="19" t="str">
        <x:f>'Test_Cases'!E7</x:f>
        <x:v>1. Navigate to Contacts
2. Click New
3. Enter First Name
4. Enter Last Name
5. Select Account
6. Click Save</x:v>
      </x:c>
      <x:c r="G23" s="19" t="str">
        <x:f>'Test_Cases'!F7</x:f>
        <x:v>Contact is created successfully and linked to the selected account.</x:v>
      </x:c>
      <x:c r="H23" s="20" t="inlineStr">
        <x:is>
          <x:t xml:space="preserve">Not Run</x:t>
        </x:is>
      </x:c>
      <x:c r="I23" s="20" t="n"/>
      <x:c r="J23" s="20" t="n"/>
      <x:c r="K23" s="20" t="n"/>
      <x:c r="L23" s="21" t="n"/>
      <x:c r="M23" s="20" t="n"/>
    </x:row>
    <x:row r="24" ht="55" customHeight="1">
      <x:c r="A24" s="18" t="str">
        <x:f>'Test_Cases'!A8</x:f>
        <x:v>TC-006</x:v>
      </x:c>
      <x:c r="B24" s="19" t="str">
        <x:f>'Test_Cases'!B8</x:f>
        <x:v>Leads</x:v>
      </x:c>
      <x:c r="C24" s="19" t="str">
        <x:f>'Test_Cases'!C8</x:f>
        <x:v>Create Lead</x:v>
      </x:c>
      <x:c r="D24" s="19" t="str">
        <x:f>'Test_Cases'!G8</x:f>
        <x:v>High</x:v>
      </x:c>
      <x:c r="E24" s="19" t="str">
        <x:f>'Test_Cases'!D8</x:f>
        <x:v>User is logged in to Salesforce.</x:v>
      </x:c>
      <x:c r="F24" s="19" t="str">
        <x:f>'Test_Cases'!E8</x:f>
        <x:v>1. Navigate to Leads
2. Click New
3. Enter First Name
4. Enter Last Name
5. Enter Company
6. Click Save</x:v>
      </x:c>
      <x:c r="G24" s="19" t="str">
        <x:f>'Test_Cases'!F8</x:f>
        <x:v>Lead is created successfully.</x:v>
      </x:c>
      <x:c r="H24" s="20" t="inlineStr">
        <x:is>
          <x:t xml:space="preserve">Not Run</x:t>
        </x:is>
      </x:c>
      <x:c r="I24" s="20" t="n"/>
      <x:c r="J24" s="20" t="n"/>
      <x:c r="K24" s="20" t="n"/>
      <x:c r="L24" s="21" t="n"/>
      <x:c r="M24" s="20" t="n"/>
    </x:row>
    <x:row r="25" ht="55" customHeight="1">
      <x:c r="A25" s="18" t="str">
        <x:f>'Test_Cases'!A9</x:f>
        <x:v>TC-007</x:v>
      </x:c>
      <x:c r="B25" s="19" t="str">
        <x:f>'Test_Cases'!B9</x:f>
        <x:v>Leads</x:v>
      </x:c>
      <x:c r="C25" s="19" t="str">
        <x:f>'Test_Cases'!C9</x:f>
        <x:v>Convert Lead</x:v>
      </x:c>
      <x:c r="D25" s="19" t="str">
        <x:f>'Test_Cases'!G9</x:f>
        <x:v>High</x:v>
      </x:c>
      <x:c r="E25" s="19" t="str">
        <x:f>'Test_Cases'!D9</x:f>
        <x:v>An existing lead is available for conversion.</x:v>
      </x:c>
      <x:c r="F25" s="19" t="str">
        <x:f>'Test_Cases'!E9</x:f>
        <x:v>1. Navigate to Leads
2. Open a lead
3. Click Convert
4. Confirm conversion options
5. Click Convert</x:v>
      </x:c>
      <x:c r="G25" s="19" t="str">
        <x:f>'Test_Cases'!F9</x:f>
        <x:v>Lead is converted and related Account, Contact, and Opportunity are created as applicable.</x:v>
      </x:c>
      <x:c r="H25" s="20" t="inlineStr">
        <x:is>
          <x:t xml:space="preserve">Not Run</x:t>
        </x:is>
      </x:c>
      <x:c r="I25" s="20" t="n"/>
      <x:c r="J25" s="20" t="n"/>
      <x:c r="K25" s="20" t="n"/>
      <x:c r="L25" s="21" t="n"/>
      <x:c r="M25" s="20" t="n"/>
    </x:row>
    <x:row r="26" ht="55" customHeight="1">
      <x:c r="A26" s="18" t="str">
        <x:f>'Test_Cases'!A10</x:f>
        <x:v>TC-008</x:v>
      </x:c>
      <x:c r="B26" s="19" t="str">
        <x:f>'Test_Cases'!B10</x:f>
        <x:v>Opportunities</x:v>
      </x:c>
      <x:c r="C26" s="19" t="str">
        <x:f>'Test_Cases'!C10</x:f>
        <x:v>Create Opportunity</x:v>
      </x:c>
      <x:c r="D26" s="19" t="str">
        <x:f>'Test_Cases'!G10</x:f>
        <x:v>High</x:v>
      </x:c>
      <x:c r="E26" s="19" t="str">
        <x:f>'Test_Cases'!D10</x:f>
        <x:v>User is logged in and an account exists.</x:v>
      </x:c>
      <x:c r="F26" s="19" t="str">
        <x:f>'Test_Cases'!E10</x:f>
        <x:v>1. Navigate to Opportunities
2. Click New
3. Enter Opportunity Name
4. Select Stage
5. Enter Close Date
6. Click Save</x:v>
      </x:c>
      <x:c r="G26" s="19" t="str">
        <x:f>'Test_Cases'!F10</x:f>
        <x:v>Opportunity is created successfully.</x:v>
      </x:c>
      <x:c r="H26" s="20" t="inlineStr">
        <x:is>
          <x:t xml:space="preserve">Not Run</x:t>
        </x:is>
      </x:c>
      <x:c r="I26" s="20" t="n"/>
      <x:c r="J26" s="20" t="n"/>
      <x:c r="K26" s="20" t="n"/>
      <x:c r="L26" s="21" t="n"/>
      <x:c r="M26" s="20" t="n"/>
    </x:row>
    <x:row r="27" ht="55" customHeight="1">
      <x:c r="A27" s="18" t="str">
        <x:f>'Test_Cases'!A11</x:f>
        <x:v>TC-009</x:v>
      </x:c>
      <x:c r="B27" s="19" t="str">
        <x:f>'Test_Cases'!B11</x:f>
        <x:v>Opportunities</x:v>
      </x:c>
      <x:c r="C27" s="19" t="str">
        <x:f>'Test_Cases'!C11</x:f>
        <x:v>Update Opportunity Stage</x:v>
      </x:c>
      <x:c r="D27" s="19" t="str">
        <x:f>'Test_Cases'!G11</x:f>
        <x:v>Medium</x:v>
      </x:c>
      <x:c r="E27" s="19" t="str">
        <x:f>'Test_Cases'!D11</x:f>
        <x:v>An existing opportunity is available.</x:v>
      </x:c>
      <x:c r="F27" s="19" t="str">
        <x:f>'Test_Cases'!E11</x:f>
        <x:v>1. Navigate to Opportunities
2. Open an opportunity
3. Click Edit
4. Change Stage
5. Click Save</x:v>
      </x:c>
      <x:c r="G27" s="19" t="str">
        <x:f>'Test_Cases'!F11</x:f>
        <x:v>Opportunity stage is updated successfully.</x:v>
      </x:c>
      <x:c r="H27" s="20" t="inlineStr">
        <x:is>
          <x:t xml:space="preserve">Not Run</x:t>
        </x:is>
      </x:c>
      <x:c r="I27" s="20" t="n"/>
      <x:c r="J27" s="20" t="n"/>
      <x:c r="K27" s="20" t="n"/>
      <x:c r="L27" s="21" t="n"/>
      <x:c r="M27" s="20" t="n"/>
    </x:row>
    <x:row r="28" ht="55" customHeight="1">
      <x:c r="A28" s="18" t="str">
        <x:f>'Test_Cases'!A12</x:f>
        <x:v>TC-010</x:v>
      </x:c>
      <x:c r="B28" s="19" t="str">
        <x:f>'Test_Cases'!B12</x:f>
        <x:v>Tasks</x:v>
      </x:c>
      <x:c r="C28" s="19" t="str">
        <x:f>'Test_Cases'!C12</x:f>
        <x:v>Create Task</x:v>
      </x:c>
      <x:c r="D28" s="19" t="str">
        <x:f>'Test_Cases'!G12</x:f>
        <x:v>Medium</x:v>
      </x:c>
      <x:c r="E28" s="19" t="str">
        <x:f>'Test_Cases'!D12</x:f>
        <x:v>User is logged in and a related record exists.</x:v>
      </x:c>
      <x:c r="F28" s="19" t="str">
        <x:f>'Test_Cases'!E12</x:f>
        <x:v>1. Navigate to Tasks
2. Click New Task
3. Enter Subject
4. Select related record
5. Click Save</x:v>
      </x:c>
      <x:c r="G28" s="19" t="str">
        <x:f>'Test_Cases'!F12</x:f>
        <x:v>Task is created successfully.</x:v>
      </x:c>
      <x:c r="H28" s="20" t="inlineStr">
        <x:is>
          <x:t xml:space="preserve">Not Run</x:t>
        </x:is>
      </x:c>
      <x:c r="I28" s="20" t="n"/>
      <x:c r="J28" s="20" t="n"/>
      <x:c r="K28" s="20" t="n"/>
      <x:c r="L28" s="21" t="n"/>
      <x:c r="M28" s="20" t="n"/>
    </x:row>
    <x:row r="29" ht="55" customHeight="1">
      <x:c r="A29" s="18" t="str">
        <x:f>'Test_Cases'!A13</x:f>
        <x:v>TC-011</x:v>
      </x:c>
      <x:c r="B29" s="19" t="str">
        <x:f>'Test_Cases'!B13</x:f>
        <x:v>Calendar</x:v>
      </x:c>
      <x:c r="C29" s="19" t="str">
        <x:f>'Test_Cases'!C13</x:f>
        <x:v>Create Event</x:v>
      </x:c>
      <x:c r="D29" s="19" t="str">
        <x:f>'Test_Cases'!G13</x:f>
        <x:v>Low</x:v>
      </x:c>
      <x:c r="E29" s="19" t="str">
        <x:f>'Test_Cases'!D13</x:f>
        <x:v>User is logged in to Salesforce.</x:v>
      </x:c>
      <x:c r="F29" s="19" t="str">
        <x:f>'Test_Cases'!E13</x:f>
        <x:v>1. Navigate to Calendar
2. Click New Event
3. Enter title
4. Select date/time
5. Click Save</x:v>
      </x:c>
      <x:c r="G29" s="19" t="str">
        <x:f>'Test_Cases'!F13</x:f>
        <x:v>Event is created and appears on the calendar.</x:v>
      </x:c>
      <x:c r="H29" s="20" t="inlineStr">
        <x:is>
          <x:t xml:space="preserve">Not Run</x:t>
        </x:is>
      </x:c>
      <x:c r="I29" s="20" t="n"/>
      <x:c r="J29" s="20" t="n"/>
      <x:c r="K29" s="20" t="n"/>
      <x:c r="L29" s="21" t="n"/>
      <x:c r="M29" s="20" t="n"/>
    </x:row>
    <x:row r="30" ht="55" customHeight="1">
      <x:c r="A30" s="18" t="str">
        <x:f>'Test_Cases'!A14</x:f>
        <x:v>TC-012</x:v>
      </x:c>
      <x:c r="B30" s="19" t="str">
        <x:f>'Test_Cases'!B14</x:f>
        <x:v>Reports</x:v>
      </x:c>
      <x:c r="C30" s="19" t="str">
        <x:f>'Test_Cases'!C14</x:f>
        <x:v>Generate Report</x:v>
      </x:c>
      <x:c r="D30" s="19" t="str">
        <x:f>'Test_Cases'!G14</x:f>
        <x:v>Medium</x:v>
      </x:c>
      <x:c r="E30" s="19" t="str">
        <x:f>'Test_Cases'!D14</x:f>
        <x:v>User is logged in and has report access.</x:v>
      </x:c>
      <x:c r="F30" s="19" t="str">
        <x:f>'Test_Cases'!E14</x:f>
        <x:v>1. Navigate to Reports
2. Click New Report
3. Select report type
4. Run report</x:v>
      </x:c>
      <x:c r="G30" s="19" t="str">
        <x:f>'Test_Cases'!F14</x:f>
        <x:v>Report is generated successfully with expected data.</x:v>
      </x:c>
      <x:c r="H30" s="20" t="inlineStr">
        <x:is>
          <x:t xml:space="preserve">Not Run</x:t>
        </x:is>
      </x:c>
      <x:c r="I30" s="20" t="n"/>
      <x:c r="J30" s="20" t="n"/>
      <x:c r="K30" s="20" t="n"/>
      <x:c r="L30" s="21" t="n"/>
      <x:c r="M30" s="20" t="n"/>
    </x:row>
    <x:row r="31" ht="55" customHeight="1">
      <x:c r="A31" s="18" t="str">
        <x:f>'Test_Cases'!A15</x:f>
        <x:v>TC-013</x:v>
      </x:c>
      <x:c r="B31" s="19" t="str">
        <x:f>'Test_Cases'!B15</x:f>
        <x:v>Reports</x:v>
      </x:c>
      <x:c r="C31" s="19" t="str">
        <x:f>'Test_Cases'!C15</x:f>
        <x:v>Export Report</x:v>
      </x:c>
      <x:c r="D31" s="19" t="str">
        <x:f>'Test_Cases'!G15</x:f>
        <x:v>Low</x:v>
      </x:c>
      <x:c r="E31" s="19" t="str">
        <x:f>'Test_Cases'!D15</x:f>
        <x:v>A report is available to export.</x:v>
      </x:c>
      <x:c r="F31" s="19" t="str">
        <x:f>'Test_Cases'!E15</x:f>
        <x:v>1. Open a report
2. Click Export
3. Choose export format
4. Confirm export</x:v>
      </x:c>
      <x:c r="G31" s="19" t="str">
        <x:f>'Test_Cases'!F15</x:f>
        <x:v>Report export completes successfully.</x:v>
      </x:c>
      <x:c r="H31" s="20" t="inlineStr">
        <x:is>
          <x:t xml:space="preserve">Not Run</x:t>
        </x:is>
      </x:c>
      <x:c r="I31" s="20" t="n"/>
      <x:c r="J31" s="20" t="n"/>
      <x:c r="K31" s="20" t="n"/>
      <x:c r="L31" s="21" t="n"/>
      <x:c r="M31" s="20" t="n"/>
    </x:row>
    <x:row r="32" ht="55" customHeight="1">
      <x:c r="A32" s="18" t="str">
        <x:f>'Test_Cases'!A16</x:f>
        <x:v>TC-014</x:v>
      </x:c>
      <x:c r="B32" s="19" t="str">
        <x:f>'Test_Cases'!B16</x:f>
        <x:v>Validation</x:v>
      </x:c>
      <x:c r="C32" s="19" t="str">
        <x:f>'Test_Cases'!C16</x:f>
        <x:v>Account required field validation</x:v>
      </x:c>
      <x:c r="D32" s="19" t="str">
        <x:f>'Test_Cases'!G16</x:f>
        <x:v>High</x:v>
      </x:c>
      <x:c r="E32" s="19" t="str">
        <x:f>'Test_Cases'!D16</x:f>
        <x:v>User is logged in to Salesforce.</x:v>
      </x:c>
      <x:c r="F32" s="19" t="str">
        <x:f>'Test_Cases'!E16</x:f>
        <x:v>1. Navigate to Accounts
2. Click New
3. Leave Account Name blank
4. Click Save</x:v>
      </x:c>
      <x:c r="G32" s="19" t="str">
        <x:f>'Test_Cases'!F16</x:f>
        <x:v>Validation error is displayed and record is not saved.</x:v>
      </x:c>
      <x:c r="H32" s="20" t="inlineStr">
        <x:is>
          <x:t xml:space="preserve">Not Run</x:t>
        </x:is>
      </x:c>
      <x:c r="I32" s="20" t="n"/>
      <x:c r="J32" s="20" t="n"/>
      <x:c r="K32" s="20" t="n"/>
      <x:c r="L32" s="21" t="n"/>
      <x:c r="M32" s="20" t="n"/>
    </x:row>
    <x:row r="33" ht="55" customHeight="1">
      <x:c r="A33" s="18" t="str">
        <x:f>'Test_Cases'!A17</x:f>
        <x:v>TC-015</x:v>
      </x:c>
      <x:c r="B33" s="19" t="str">
        <x:f>'Test_Cases'!B17</x:f>
        <x:v>Validation</x:v>
      </x:c>
      <x:c r="C33" s="19" t="str">
        <x:f>'Test_Cases'!C17</x:f>
        <x:v>Duplicate record validation</x:v>
      </x:c>
      <x:c r="D33" s="19" t="str">
        <x:f>'Test_Cases'!G17</x:f>
        <x:v>Medium</x:v>
      </x:c>
      <x:c r="E33" s="19" t="str">
        <x:f>'Test_Cases'!D17</x:f>
        <x:v>A record already exists with duplicate criteria.</x:v>
      </x:c>
      <x:c r="F33" s="19" t="str">
        <x:f>'Test_Cases'!E17</x:f>
        <x:v>1. Attempt to create a duplicate record
2. Save the record</x:v>
      </x:c>
      <x:c r="G33" s="19" t="str">
        <x:f>'Test_Cases'!F17</x:f>
        <x:v>System displays duplicate warning/error based on configured rule.</x:v>
      </x:c>
      <x:c r="H33" s="20" t="inlineStr">
        <x:is>
          <x:t xml:space="preserve">Not Run</x:t>
        </x:is>
      </x:c>
      <x:c r="I33" s="20" t="n"/>
      <x:c r="J33" s="20" t="n"/>
      <x:c r="K33" s="20" t="n"/>
      <x:c r="L33" s="21" t="n"/>
      <x:c r="M33" s="20" t="n"/>
    </x:row>
  </x:sheetData>
  <x:mergeCells>
    <x:mergeCell ref="E5:K5"/>
    <x:mergeCell ref="A1:M1"/>
    <x:mergeCell ref="A5:C5"/>
    <x:mergeCell ref="A17:M17"/>
    <x:mergeCell ref="J3:M4"/>
  </x:mergeCells>
  <x:conditionalFormatting sqref="H19:H33">
    <x:cfRule type="expression" dxfId="0" priority="1">
      <x:formula>H19="Pass"</x:formula>
    </x:cfRule>
    <x:cfRule type="expression" dxfId="1" priority="2">
      <x:formula>H19="Fail"</x:formula>
    </x:cfRule>
    <x:cfRule type="expression" dxfId="2" priority="3">
      <x:formula>H19="Blocked"</x:formula>
    </x:cfRule>
    <x:cfRule type="expression" dxfId="3" priority="4">
      <x:formula>H19="Not Run"</x:formula>
    </x:cfRule>
  </x:conditionalFormatting>
  <x:dataValidations count="1">
    <x:dataValidation type="list" allowBlank="0" showDropDown="0" showInputMessage="0" showErrorMessage="0" sqref="H19:H33">
      <x:formula1>"Pass,Fail,Blocked,Not Run"</x:formula1>
    </x:dataValidation>
  </x:dataValidations>
  <x:pageMargins left="0.7" right="0.7" top="0.75" bottom="0.75" header="0.3" footer="0.3"/>
</x:worksheet>
</file>